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wisew\Documents\Github\reborn-calc\"/>
    </mc:Choice>
  </mc:AlternateContent>
  <xr:revisionPtr revIDLastSave="0" documentId="13_ncr:1_{80AB4981-ED7D-48DB-A1D5-F3F59CC83E57}" xr6:coauthVersionLast="47" xr6:coauthVersionMax="47" xr10:uidLastSave="{00000000-0000-0000-0000-000000000000}"/>
  <bookViews>
    <workbookView xWindow="-108" yWindow="-108" windowWidth="23256" windowHeight="13896" xr2:uid="{0CB2F70A-59B4-4625-9183-677A30D36818}"/>
  </bookViews>
  <sheets>
    <sheet name="Sheet1" sheetId="1" r:id="rId1"/>
  </sheets>
  <functionGroups builtInGroupCount="19"/>
  <definedNames>
    <definedName name="_xleta.IF" hidden="1" xlm="1">#NAME?</definedName>
    <definedName name="_xleta.PROPER" hidden="1" xlm="1">#NAME?</definedName>
    <definedName name="_xleta.T" hidden="1" xlm="1">#NAME?</definedName>
    <definedName name="_xleta.TEXT" hidden="1" xlm="1">#NAME?</definedName>
    <definedName name="_xleta.TEXTSPLI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9" i="1" l="1"/>
  <c r="F11" i="1"/>
  <c r="F12" i="1"/>
  <c r="F13" i="1"/>
  <c r="F14" i="1"/>
  <c r="G14" i="1" s="1" a="1"/>
  <c r="J14" i="1" s="1" a="1"/>
  <c r="J14" i="1" s="1"/>
  <c r="F15" i="1"/>
  <c r="G15" i="1" s="1" a="1"/>
  <c r="G15" i="1" s="1"/>
  <c r="A29" i="1" s="1"/>
  <c r="F10" i="1"/>
  <c r="G10" i="1" s="1" a="1"/>
  <c r="G10" i="1" s="1"/>
  <c r="A25" i="1" s="1"/>
  <c r="F16" i="1"/>
  <c r="G16" i="1" s="1" a="1"/>
  <c r="G16" i="1" s="1"/>
  <c r="A30" i="1" s="1"/>
  <c r="F9" i="1"/>
  <c r="G9" i="1" s="1" a="1"/>
  <c r="G9" i="1" s="1"/>
  <c r="A24" i="1" s="1"/>
  <c r="F8" i="1"/>
  <c r="G8" i="1" s="1" a="1"/>
  <c r="G8" i="1" s="1"/>
  <c r="A23" i="1" s="1"/>
  <c r="F7" i="1"/>
  <c r="G7" i="1" s="1" a="1"/>
  <c r="G7" i="1" s="1"/>
  <c r="A22" i="1" s="1"/>
  <c r="G11" i="1" a="1"/>
  <c r="G11" i="1" s="1"/>
  <c r="A26" i="1" s="1"/>
  <c r="G12" i="1" a="1"/>
  <c r="G12" i="1" s="1"/>
  <c r="G13" i="1" a="1"/>
  <c r="G13" i="1" s="1"/>
  <c r="A27" i="1" s="1"/>
  <c r="F6" i="1"/>
  <c r="G6" i="1" s="1" a="1"/>
  <c r="G6" i="1" s="1"/>
  <c r="J10" i="1" a="1"/>
  <c r="J10" i="1" l="1"/>
  <c r="B22" i="1"/>
  <c r="J13" i="1"/>
  <c r="B27" i="1" s="1"/>
  <c r="B26" i="1"/>
  <c r="J16" i="1"/>
  <c r="J17" i="1" s="1" a="1"/>
  <c r="J17" i="1" s="1"/>
  <c r="J9" i="1" a="1"/>
  <c r="J8" i="1"/>
  <c r="G14" i="1"/>
  <c r="A28" i="1" s="1"/>
  <c r="J9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<sst xmlns="http://schemas.openxmlformats.org/spreadsheetml/2006/main" count="39" uniqueCount="39">
  <si>
    <t>Team</t>
  </si>
  <si>
    <t>Trainer</t>
  </si>
  <si>
    <t>Field</t>
  </si>
  <si>
    <t>:species =&gt; :NINETALES,</t>
  </si>
  <si>
    <t>        :moves =&gt; [:AURORAVEIL, :MOONBLAST, :FREEZEDRY, :FOULPLAY],</t>
  </si>
  <si>
    <t>        :gender =&gt; "F",</t>
  </si>
  <si>
    <t>        :form =&gt; 1,</t>
  </si>
  <si>
    <t>        :nature =&gt; :TIMID,</t>
  </si>
  <si>
    <t>        :happiness =&gt; 0,</t>
  </si>
  <si>
    <t>        :ev =&gt; [252, 252, 252, 252, 252, 252]</t>
  </si>
  <si>
    <t>        :item =&gt; :EJECTBUTTON,</t>
  </si>
  <si>
    <t xml:space="preserve"> :level =&gt; 100,</t>
  </si>
  <si>
    <t>        :iv =&gt; 15,</t>
  </si>
  <si>
    <t>Doubles?</t>
  </si>
  <si>
    <t>DO NOT TOUCH THIS PART</t>
  </si>
  <si>
    <t>When is the Fight?</t>
  </si>
  <si>
    <t>Who's the Opponent?</t>
  </si>
  <si>
    <t>What's the Field?</t>
  </si>
  <si>
    <t>Is it Doubles?</t>
  </si>
  <si>
    <t>Leave Blank if Singles</t>
  </si>
  <si>
    <t>See calc for examples</t>
  </si>
  <si>
    <t>Trainer Name + Class if generic</t>
  </si>
  <si>
    <t>Name of Field</t>
  </si>
  <si>
    <t>Species</t>
  </si>
  <si>
    <t>Level</t>
  </si>
  <si>
    <t>Item</t>
  </si>
  <si>
    <t>Moves</t>
  </si>
  <si>
    <t>Ability</t>
  </si>
  <si>
    <t>Gender</t>
  </si>
  <si>
    <t>Form</t>
  </si>
  <si>
    <t>Nature</t>
  </si>
  <si>
    <t>Happiness</t>
  </si>
  <si>
    <t>IV</t>
  </si>
  <si>
    <t>EV</t>
  </si>
  <si>
    <t>^ Copy paste from code into here</t>
  </si>
  <si>
    <t>        :ability =&gt; :SPEEDBOOST,</t>
  </si>
  <si>
    <t xml:space="preserve">IVs </t>
  </si>
  <si>
    <t xml:space="preserve">EVs </t>
  </si>
  <si>
    <t>DO NOT TOUCH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</si>
</sst>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1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FAFF93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1" fillId="0" borderId="0" xfId="0" applyFont="1"/>
    <xf numFmtId="0" fontId="1" fillId="0" borderId="0" xfId="0" applyFont="1" applyAlignment="1">
      <alignment vertical="center"/>
    </xf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1" fillId="0" borderId="5" xfId="0" applyFont="1" applyBorder="1"/>
    <xf numFmtId="0" fontId="1" fillId="0" borderId="0" xfId="0" applyFont="1" applyBorder="1"/>
    <xf numFmtId="0" fontId="1" fillId="0" borderId="6" xfId="0" applyFont="1" applyBorder="1"/>
    <xf numFmtId="0" fontId="1" fillId="2" borderId="3" xfId="0" applyFont="1" applyFill="1" applyBorder="1"/>
    <xf numFmtId="0" fontId="1" fillId="2" borderId="4" xfId="0" applyFont="1" applyFill="1" applyBorder="1"/>
    <xf numFmtId="0" fontId="1" fillId="2" borderId="0" xfId="0" applyFont="1" applyFill="1" applyBorder="1"/>
    <xf numFmtId="0" fontId="1" fillId="2" borderId="6" xfId="0" applyFont="1" applyFill="1" applyBorder="1"/>
    <xf numFmtId="0" fontId="1" fillId="2" borderId="8" xfId="0" applyFont="1" applyFill="1" applyBorder="1"/>
    <xf numFmtId="0" fontId="1" fillId="2" borderId="9" xfId="0" applyFont="1" applyFill="1" applyBorder="1"/>
    <xf numFmtId="0" fontId="1" fillId="0" borderId="1" xfId="0" applyFont="1" applyBorder="1"/>
    <xf numFmtId="0" fontId="1" fillId="3" borderId="1" xfId="0" applyFont="1" applyFill="1" applyBorder="1"/>
    <xf numFmtId="0" fontId="1" fillId="4" borderId="1" xfId="0" applyFont="1" applyFill="1" applyBorder="1"/>
    <xf numFmtId="0" fontId="1" fillId="0" borderId="3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2" xfId="0" applyFont="1" applyBorder="1"/>
    <xf numFmtId="0" fontId="1" fillId="0" borderId="12" xfId="0" applyFont="1" applyBorder="1" applyAlignment="1">
      <alignment horizontal="center"/>
    </xf>
    <xf numFmtId="0" fontId="1" fillId="2" borderId="7" xfId="0" applyFont="1" applyFill="1" applyBorder="1"/>
    <xf numFmtId="0" fontId="1" fillId="2" borderId="0" xfId="0" applyFont="1" applyFill="1"/>
    <xf numFmtId="0" fontId="1" fillId="0" borderId="1" xfId="0" applyFont="1" applyBorder="1" applyAlignment="1">
      <alignment horizontal="center"/>
    </xf>
    <xf numFmtId="0" fontId="1" fillId="0" borderId="10" xfId="0" applyFont="1" applyBorder="1"/>
    <xf numFmtId="0" fontId="0" fillId="2" borderId="0" xfId="0" applyFont="1" applyFill="1" applyBorder="1" applyAlignment="1">
      <alignment vertical="center"/>
    </xf>
    <xf numFmtId="0" fontId="0" fillId="2" borderId="8" xfId="0" applyFont="1" applyFill="1" applyBorder="1" applyAlignment="1">
      <alignment vertical="center"/>
    </xf>
    <xf numFmtId="0" fontId="1" fillId="0" borderId="13" xfId="0" applyFont="1" applyBorder="1" applyAlignment="1">
      <alignment horizontal="center"/>
    </xf>
    <xf numFmtId="0" fontId="1" fillId="3" borderId="10" xfId="0" applyFont="1" applyFill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1" fillId="0" borderId="0" xfId="0" applyFont="1" applyFill="1" applyBorder="1"/>
    <xf numFmtId="0" fontId="1" fillId="0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AFF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1579E3-1B2B-488E-9615-8866A35DA4AE}">
  <sheetPr codeName="Sheet1"/>
  <dimension ref="A1:P30"/>
  <sheetViews>
    <sheetView tabSelected="1" topLeftCell="A4" workbookViewId="0">
      <selection activeCell="N17" sqref="N17"/>
    </sheetView>
  </sheetViews>
  <sheetFormatPr defaultRowHeight="14.4" x14ac:dyDescent="0.3"/>
  <cols>
    <col min="1" max="5" width="8.88671875" style="1"/>
    <col min="6" max="6" width="10.5546875" style="1" customWidth="1"/>
    <col min="7" max="7" width="9" style="1" customWidth="1"/>
    <col min="8" max="9" width="8.88671875" style="1"/>
    <col min="10" max="10" width="9.5546875" style="1" customWidth="1"/>
    <col min="11" max="11" width="9.44140625" style="1" customWidth="1"/>
    <col min="12" max="12" width="7.5546875" style="1" customWidth="1"/>
    <col min="13" max="13" width="8.77734375" style="1" customWidth="1"/>
    <col min="14" max="16384" width="8.88671875" style="1"/>
  </cols>
  <sheetData>
    <row r="1" spans="1:15" x14ac:dyDescent="0.3">
      <c r="A1" s="15" t="s">
        <v>0</v>
      </c>
      <c r="B1" s="16"/>
      <c r="C1" s="19" t="s">
        <v>15</v>
      </c>
      <c r="D1" s="20"/>
      <c r="E1" s="20" t="s">
        <v>20</v>
      </c>
      <c r="F1" s="20"/>
      <c r="G1" s="21"/>
    </row>
    <row r="2" spans="1:15" x14ac:dyDescent="0.3">
      <c r="A2" s="15" t="s">
        <v>1</v>
      </c>
      <c r="B2" s="16"/>
      <c r="C2" s="19" t="s">
        <v>16</v>
      </c>
      <c r="D2" s="20"/>
      <c r="E2" s="20" t="s">
        <v>21</v>
      </c>
      <c r="F2" s="20"/>
      <c r="G2" s="22"/>
    </row>
    <row r="3" spans="1:15" x14ac:dyDescent="0.3">
      <c r="A3" s="15" t="s">
        <v>2</v>
      </c>
      <c r="B3" s="16"/>
      <c r="C3" s="19" t="s">
        <v>17</v>
      </c>
      <c r="D3" s="20"/>
      <c r="E3" s="20" t="s">
        <v>22</v>
      </c>
      <c r="F3" s="20"/>
      <c r="G3" s="21"/>
    </row>
    <row r="4" spans="1:15" x14ac:dyDescent="0.3">
      <c r="A4" s="15" t="s">
        <v>13</v>
      </c>
      <c r="B4" s="16"/>
      <c r="C4" s="19" t="s">
        <v>18</v>
      </c>
      <c r="D4" s="20"/>
      <c r="E4" s="20" t="s">
        <v>19</v>
      </c>
      <c r="F4" s="18"/>
      <c r="G4" s="5"/>
    </row>
    <row r="5" spans="1:15" x14ac:dyDescent="0.3">
      <c r="A5" s="2"/>
      <c r="F5" s="25" t="s">
        <v>14</v>
      </c>
      <c r="G5" s="25"/>
      <c r="H5" s="25"/>
    </row>
    <row r="6" spans="1:15" x14ac:dyDescent="0.3">
      <c r="A6" s="26" t="s">
        <v>23</v>
      </c>
      <c r="B6" s="30" t="s">
        <v>3</v>
      </c>
      <c r="C6" s="31"/>
      <c r="D6" s="31"/>
      <c r="E6" s="32"/>
      <c r="F6" s="9" t="str">
        <f>SUBSTITUTE(SUBSTITUTE(SUBSTITUTE(SUBSTITUTE(B6," ","")," ",""),":",""),",","")</f>
        <v>species=&gt;NINETALES</v>
      </c>
      <c r="G6" s="9" t="str" cm="1">
        <f t="array" ref="G6:H6">_xlfn.TEXTSPLIT(F6,"=&gt;")</f>
        <v>species</v>
      </c>
      <c r="H6" s="9" t="str">
        <v>NINETALES</v>
      </c>
      <c r="I6" s="9"/>
      <c r="J6" s="9"/>
      <c r="K6" s="9"/>
      <c r="L6" s="9"/>
      <c r="M6" s="9"/>
      <c r="N6" s="9"/>
      <c r="O6" s="10"/>
    </row>
    <row r="7" spans="1:15" x14ac:dyDescent="0.3">
      <c r="A7" s="26" t="s">
        <v>24</v>
      </c>
      <c r="B7" s="30" t="s">
        <v>11</v>
      </c>
      <c r="C7" s="31"/>
      <c r="D7" s="31"/>
      <c r="E7" s="32"/>
      <c r="F7" s="11" t="str">
        <f>SUBSTITUTE(SUBSTITUTE(SUBSTITUTE(SUBSTITUTE(B7," ","")," ",""),":",""),",","")</f>
        <v>level=&gt;100</v>
      </c>
      <c r="G7" s="11" t="str" cm="1">
        <f t="array" ref="G7:H7">_xlfn.TEXTSPLIT(F7,"=&gt;")</f>
        <v>level</v>
      </c>
      <c r="H7" s="11" t="str">
        <v>100</v>
      </c>
      <c r="I7" s="11"/>
      <c r="J7" s="11"/>
      <c r="K7" s="11"/>
      <c r="L7" s="11"/>
      <c r="M7" s="11"/>
      <c r="N7" s="11"/>
      <c r="O7" s="12"/>
    </row>
    <row r="8" spans="1:15" x14ac:dyDescent="0.3">
      <c r="A8" s="26" t="s">
        <v>25</v>
      </c>
      <c r="B8" s="30" t="s">
        <v>10</v>
      </c>
      <c r="C8" s="31"/>
      <c r="D8" s="31"/>
      <c r="E8" s="32"/>
      <c r="F8" s="27" t="str">
        <f>SUBSTITUTE(SUBSTITUTE(SUBSTITUTE(SUBSTITUTE(B8," ","")," ",""),":",""),",","")</f>
        <v>item=&gt;EJECTBUTTON</v>
      </c>
      <c r="G8" s="11" t="str" cm="1">
        <f t="array" ref="G8:H8">_xlfn.TEXTSPLIT(F8,"=&gt;")</f>
        <v>item</v>
      </c>
      <c r="H8" s="11" t="str">
        <v>EJECTBUTTON</v>
      </c>
      <c r="I8" s="11"/>
      <c r="J8" s="11" t="str">
        <f>PROPER(H8)</f>
        <v>Ejectbutton</v>
      </c>
      <c r="K8" s="11"/>
      <c r="L8" s="11"/>
      <c r="M8" s="11"/>
      <c r="N8" s="11"/>
      <c r="O8" s="12"/>
    </row>
    <row r="9" spans="1:15" x14ac:dyDescent="0.3">
      <c r="A9" s="26" t="s">
        <v>26</v>
      </c>
      <c r="B9" s="30" t="s">
        <v>4</v>
      </c>
      <c r="C9" s="31"/>
      <c r="D9" s="31"/>
      <c r="E9" s="32"/>
      <c r="F9" s="27" t="str">
        <f>SUBSTITUTE(SUBSTITUTE(SUBSTITUTE(B9," ","")," ",""),":","")</f>
        <v>moves=&gt;[AURORAVEIL,MOONBLAST,FREEZEDRY,FOULPLAY],</v>
      </c>
      <c r="G9" s="11" t="str" cm="1">
        <f t="array" ref="G9:H9">_xlfn.TEXTSPLIT(F9,"=&gt;")</f>
        <v>moves</v>
      </c>
      <c r="H9" s="11" t="str">
        <v>[AURORAVEIL,MOONBLAST,FREEZEDRY,FOULPLAY],</v>
      </c>
      <c r="I9" s="11"/>
      <c r="J9" s="11" t="str" cm="1">
        <f t="array" ref="J9:N9">PROPER(_xlfn.TEXTSPLIT(SUBSTITUTE(SUBSTITUTE(H9,"[",""),"]",""),","))</f>
        <v>Auroraveil</v>
      </c>
      <c r="K9" s="11" t="str">
        <v>Moonblast</v>
      </c>
      <c r="L9" s="11" t="str">
        <v>Freezedry</v>
      </c>
      <c r="M9" s="11" t="str">
        <v>Foulplay</v>
      </c>
      <c r="N9" s="11" t="str">
        <v/>
      </c>
      <c r="O9" s="12"/>
    </row>
    <row r="10" spans="1:15" x14ac:dyDescent="0.3">
      <c r="A10" s="26" t="s">
        <v>27</v>
      </c>
      <c r="B10" s="30" t="s">
        <v>35</v>
      </c>
      <c r="C10" s="31"/>
      <c r="D10" s="31"/>
      <c r="E10" s="32"/>
      <c r="F10" s="27" t="str">
        <f>SUBSTITUTE(SUBSTITUTE(SUBSTITUTE(SUBSTITUTE(B10," ","")," ",""),":",""),",","")</f>
        <v>ability=&gt;SPEEDBOOST</v>
      </c>
      <c r="G10" s="11" t="str" cm="1">
        <f t="array" ref="G10:H10">_xlfn.TEXTSPLIT(F10,"=&gt;")</f>
        <v>ability</v>
      </c>
      <c r="H10" s="11" t="str">
        <v>SPEEDBOOST</v>
      </c>
      <c r="I10" s="11"/>
      <c r="J10" s="11" t="str" cm="1">
        <f t="array" ref="J10">TwoWordAbility(H10)</f>
        <v>Speed Boost</v>
      </c>
      <c r="K10" s="11"/>
      <c r="L10" s="11"/>
      <c r="M10" s="11"/>
      <c r="N10" s="11"/>
      <c r="O10" s="12"/>
    </row>
    <row r="11" spans="1:15" x14ac:dyDescent="0.3">
      <c r="A11" s="26" t="s">
        <v>28</v>
      </c>
      <c r="B11" s="30" t="s">
        <v>5</v>
      </c>
      <c r="C11" s="31"/>
      <c r="D11" s="31"/>
      <c r="E11" s="32"/>
      <c r="F11" s="27" t="str">
        <f>SUBSTITUTE(SUBSTITUTE(SUBSTITUTE(SUBSTITUTE(SUBSTITUTE(B11," ","")," ",""),":",""),",",""),"""","")</f>
        <v>gender=&gt;F</v>
      </c>
      <c r="G11" s="11" t="str" cm="1">
        <f t="array" ref="G11:H11">_xlfn.TEXTSPLIT(F11,"=&gt;")</f>
        <v>gender</v>
      </c>
      <c r="H11" s="11" t="str">
        <v>F</v>
      </c>
      <c r="I11" s="11"/>
      <c r="J11" s="11"/>
      <c r="K11" s="11"/>
      <c r="L11" s="11"/>
      <c r="M11" s="11"/>
      <c r="N11" s="11"/>
      <c r="O11" s="12"/>
    </row>
    <row r="12" spans="1:15" x14ac:dyDescent="0.3">
      <c r="A12" s="26" t="s">
        <v>29</v>
      </c>
      <c r="B12" s="30" t="s">
        <v>6</v>
      </c>
      <c r="C12" s="31"/>
      <c r="D12" s="31"/>
      <c r="E12" s="32"/>
      <c r="F12" s="27" t="str">
        <f>SUBSTITUTE(SUBSTITUTE(SUBSTITUTE(SUBSTITUTE(B12," ","")," ",""),":",""),",","")</f>
        <v>form=&gt;1</v>
      </c>
      <c r="G12" s="11" t="str" cm="1">
        <f t="array" ref="G12:H12">_xlfn.TEXTSPLIT(F12,"=&gt;")</f>
        <v>form</v>
      </c>
      <c r="H12" s="11" t="str">
        <v>1</v>
      </c>
      <c r="I12" s="11"/>
      <c r="J12" s="11"/>
      <c r="K12" s="11"/>
      <c r="L12" s="11"/>
      <c r="M12" s="11"/>
      <c r="N12" s="11"/>
      <c r="O12" s="12"/>
    </row>
    <row r="13" spans="1:15" x14ac:dyDescent="0.3">
      <c r="A13" s="26" t="s">
        <v>30</v>
      </c>
      <c r="B13" s="30" t="s">
        <v>7</v>
      </c>
      <c r="C13" s="31"/>
      <c r="D13" s="31"/>
      <c r="E13" s="32"/>
      <c r="F13" s="27" t="str">
        <f>SUBSTITUTE(SUBSTITUTE(SUBSTITUTE(SUBSTITUTE(B13," ","")," ",""),":",""),",","")</f>
        <v>nature=&gt;TIMID</v>
      </c>
      <c r="G13" s="11" t="str" cm="1">
        <f t="array" ref="G13:H13">_xlfn.TEXTSPLIT(F13,"=&gt;")</f>
        <v>nature</v>
      </c>
      <c r="H13" s="11" t="str">
        <v>TIMID</v>
      </c>
      <c r="I13" s="11"/>
      <c r="J13" s="11" t="str">
        <f>PROPER(H13)</f>
        <v>Timid</v>
      </c>
      <c r="K13" s="11"/>
      <c r="L13" s="11"/>
      <c r="M13" s="11"/>
      <c r="N13" s="11"/>
      <c r="O13" s="12"/>
    </row>
    <row r="14" spans="1:15" x14ac:dyDescent="0.3">
      <c r="A14" s="26" t="s">
        <v>32</v>
      </c>
      <c r="B14" s="30" t="s">
        <v>12</v>
      </c>
      <c r="C14" s="31"/>
      <c r="D14" s="31"/>
      <c r="E14" s="32"/>
      <c r="F14" s="27" t="str">
        <f>SUBSTITUTE(SUBSTITUTE(SUBSTITUTE(SUBSTITUTE(B14," ","")," ",""),":",""),",","")</f>
        <v>iv=&gt;15</v>
      </c>
      <c r="G14" s="11" t="str" cm="1">
        <f t="array" ref="G14:H14">_xlfn.TEXTSPLIT(F14,"=&gt;")</f>
        <v>iv</v>
      </c>
      <c r="H14" s="11" t="str">
        <v>15</v>
      </c>
      <c r="I14" s="11"/>
      <c r="J14" s="24" t="str" cm="1">
        <f t="array" ref="J14:O14">IF(H14="",_xlfn.TEXTSPLIT("10,10,10,10,10,10",","),IF(H14=32,_xlfn.TEXTSPLIT("31,31,31,31,31,0",","),_xlfn.TEXTSPLIT(_xlfn.TEXTJOIN(",",,H14,H14,H14,H14,H14,H14),",")))</f>
        <v>15</v>
      </c>
      <c r="K14" s="11" t="str">
        <v>15</v>
      </c>
      <c r="L14" s="11" t="str">
        <v>15</v>
      </c>
      <c r="M14" s="11" t="str">
        <v>15</v>
      </c>
      <c r="N14" s="11" t="str">
        <v>15</v>
      </c>
      <c r="O14" s="12" t="str">
        <v>15</v>
      </c>
    </row>
    <row r="15" spans="1:15" x14ac:dyDescent="0.3">
      <c r="A15" s="26" t="s">
        <v>31</v>
      </c>
      <c r="B15" s="30" t="s">
        <v>8</v>
      </c>
      <c r="C15" s="31"/>
      <c r="D15" s="31"/>
      <c r="E15" s="32"/>
      <c r="F15" s="27" t="str">
        <f>SUBSTITUTE(SUBSTITUTE(SUBSTITUTE(SUBSTITUTE(B15," ","")," ",""),":",""),",","")</f>
        <v>happiness=&gt;0</v>
      </c>
      <c r="G15" s="11" t="str" cm="1">
        <f t="array" ref="G15:H15">_xlfn.TEXTSPLIT(F15,"=&gt;")</f>
        <v>happiness</v>
      </c>
      <c r="H15" s="11" t="str">
        <v>0</v>
      </c>
      <c r="I15" s="11"/>
      <c r="J15" s="11"/>
      <c r="K15" s="11"/>
      <c r="L15" s="11"/>
      <c r="M15" s="11"/>
      <c r="N15" s="11"/>
      <c r="O15" s="12"/>
    </row>
    <row r="16" spans="1:15" x14ac:dyDescent="0.3">
      <c r="A16" s="26" t="s">
        <v>33</v>
      </c>
      <c r="B16" s="30" t="s">
        <v>9</v>
      </c>
      <c r="C16" s="31"/>
      <c r="D16" s="31"/>
      <c r="E16" s="32"/>
      <c r="F16" s="28" t="str">
        <f>SUBSTITUTE(SUBSTITUTE(SUBSTITUTE(B16," ","")," ",""),":","")</f>
        <v>ev=&gt;[252,252,252,252,252,252]</v>
      </c>
      <c r="G16" s="13" t="str" cm="1">
        <f t="array" ref="G16:H16">_xlfn.TEXTSPLIT(F16,"=&gt;")</f>
        <v>ev</v>
      </c>
      <c r="H16" s="13" t="str">
        <v>[252,252,252,252,252,252]</v>
      </c>
      <c r="I16" s="13"/>
      <c r="J16" s="24" t="str">
        <f>IF(H16="",_xlfn.TEXTJOIN(",",,MIN(H7*3/2,85),MIN(H7*3/2,85),MIN(H7*3/2,85),MIN(H7*3/2,85),MIN(H7*3/2,85),MIN(H7*3/2,85)),"")</f>
        <v/>
      </c>
      <c r="K16" s="11"/>
      <c r="L16" s="11"/>
      <c r="M16" s="11"/>
      <c r="N16" s="11"/>
      <c r="O16" s="12"/>
    </row>
    <row r="17" spans="1:16" x14ac:dyDescent="0.3">
      <c r="B17" s="29" t="s">
        <v>34</v>
      </c>
      <c r="C17" s="29"/>
      <c r="D17" s="29"/>
      <c r="J17" s="23" t="str" cm="1">
        <f t="array" ref="J17:O17">IF(J16="",PROPER(_xlfn.TEXTSPLIT(SUBSTITUTE(SUBSTITUTE(H16,"[",""),"]",""),",")),J16)</f>
        <v>252</v>
      </c>
      <c r="K17" s="13" t="str">
        <v>252</v>
      </c>
      <c r="L17" s="13" t="str">
        <v>252</v>
      </c>
      <c r="M17" s="13" t="str">
        <v>252</v>
      </c>
      <c r="N17" s="13" t="str">
        <v>252</v>
      </c>
      <c r="O17" s="14" t="str">
        <v>252</v>
      </c>
    </row>
    <row r="20" spans="1:16" x14ac:dyDescent="0.3">
      <c r="K20" s="1" t="s">
        <v>38</v>
      </c>
    </row>
    <row r="21" spans="1:16" x14ac:dyDescent="0.3">
      <c r="K21" s="3" t="s">
        <v>36</v>
      </c>
      <c r="L21" s="4"/>
      <c r="M21" s="4"/>
      <c r="N21" s="4"/>
      <c r="O21" s="4"/>
      <c r="P21" s="5"/>
    </row>
    <row r="22" spans="1:16" x14ac:dyDescent="0.3">
      <c r="A22" s="1" t="str">
        <f>("""")&amp;G7&amp;("""")</f>
        <v>"level"</v>
      </c>
      <c r="B22" s="1" t="str">
        <f>H7</f>
        <v>100</v>
      </c>
      <c r="K22" s="17"/>
      <c r="L22" s="17"/>
      <c r="M22" s="17"/>
      <c r="N22" s="17"/>
      <c r="O22" s="17"/>
      <c r="P22" s="17"/>
    </row>
    <row r="23" spans="1:16" x14ac:dyDescent="0.3">
      <c r="A23" s="1" t="str">
        <f t="shared" ref="A23:B26" si="0">("""")&amp;G8&amp;("""")</f>
        <v>"item"</v>
      </c>
      <c r="K23" s="6" t="s">
        <v>37</v>
      </c>
      <c r="L23" s="7"/>
      <c r="M23" s="7"/>
      <c r="N23" s="7"/>
      <c r="O23" s="7"/>
      <c r="P23" s="8"/>
    </row>
    <row r="24" spans="1:16" x14ac:dyDescent="0.3">
      <c r="A24" s="1" t="str">
        <f t="shared" si="0"/>
        <v>"moves"</v>
      </c>
      <c r="K24" s="17"/>
      <c r="L24" s="17"/>
      <c r="M24" s="17"/>
      <c r="N24" s="17"/>
      <c r="O24" s="17"/>
      <c r="P24" s="17"/>
    </row>
    <row r="25" spans="1:16" x14ac:dyDescent="0.3">
      <c r="A25" s="1" t="str">
        <f t="shared" si="0"/>
        <v>"ability"</v>
      </c>
    </row>
    <row r="26" spans="1:16" x14ac:dyDescent="0.3">
      <c r="A26" s="1" t="str">
        <f t="shared" si="0"/>
        <v>"gender"</v>
      </c>
      <c r="B26" s="1" t="str">
        <f t="shared" si="0"/>
        <v>"F"</v>
      </c>
    </row>
    <row r="27" spans="1:16" x14ac:dyDescent="0.3">
      <c r="A27" s="1" t="str">
        <f>("""")&amp;G13&amp;("""")</f>
        <v>"nature"</v>
      </c>
      <c r="B27" s="1" t="str">
        <f>("""")&amp;J13&amp;("""")</f>
        <v>"Timid"</v>
      </c>
      <c r="J27" s="33"/>
      <c r="K27" s="34"/>
      <c r="L27" s="34"/>
      <c r="M27" s="34"/>
      <c r="N27" s="34"/>
      <c r="O27" s="34"/>
    </row>
    <row r="28" spans="1:16" x14ac:dyDescent="0.3">
      <c r="A28" s="1" t="str">
        <f>("""")&amp;G14&amp;("""")</f>
        <v>"iv"</v>
      </c>
    </row>
    <row r="29" spans="1:16" x14ac:dyDescent="0.3">
      <c r="A29" s="1" t="str">
        <f>("""")&amp;G15&amp;("""")</f>
        <v>"happiness"</v>
      </c>
      <c r="B29" s="1" t="str">
        <f>H15</f>
        <v>0</v>
      </c>
    </row>
    <row r="30" spans="1:16" x14ac:dyDescent="0.3">
      <c r="A30" s="1" t="str">
        <f>("""")&amp;G16&amp;("""")</f>
        <v>"ev"</v>
      </c>
    </row>
  </sheetData>
  <mergeCells count="21">
    <mergeCell ref="B15:E15"/>
    <mergeCell ref="B16:E16"/>
    <mergeCell ref="B17:D17"/>
    <mergeCell ref="B6:E6"/>
    <mergeCell ref="B7:E7"/>
    <mergeCell ref="B8:E8"/>
    <mergeCell ref="B9:E9"/>
    <mergeCell ref="B10:E10"/>
    <mergeCell ref="B11:E11"/>
    <mergeCell ref="B12:E12"/>
    <mergeCell ref="B13:E13"/>
    <mergeCell ref="B14:E14"/>
    <mergeCell ref="F5:H5"/>
    <mergeCell ref="C1:D1"/>
    <mergeCell ref="C2:D2"/>
    <mergeCell ref="C3:D3"/>
    <mergeCell ref="C4:D4"/>
    <mergeCell ref="E4:F4"/>
    <mergeCell ref="E1:F1"/>
    <mergeCell ref="E3:F3"/>
    <mergeCell ref="E2:G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Wise, Willow L.</dc:creator>
  <cp:lastModifiedBy>Wise, Willow L.</cp:lastModifiedBy>
  <dcterms:created xsi:type="dcterms:W3CDTF">2025-06-25T16:46:05Z</dcterms:created>
  <dcterms:modified xsi:type="dcterms:W3CDTF">2025-06-26T01:28:05Z</dcterms:modified>
</cp:coreProperties>
</file>