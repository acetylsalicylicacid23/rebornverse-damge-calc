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sew\Documents\Github\reborn-calc\"/>
    </mc:Choice>
  </mc:AlternateContent>
  <xr:revisionPtr revIDLastSave="0" documentId="8_{E7DFB8CB-0290-464B-9763-8D95A761FD2B}" xr6:coauthVersionLast="47" xr6:coauthVersionMax="47" xr10:uidLastSave="{00000000-0000-0000-0000-000000000000}"/>
  <bookViews>
    <workbookView xWindow="-108" yWindow="-108" windowWidth="23256" windowHeight="13896" xr2:uid="{0CB2F70A-59B4-4625-9183-677A30D368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 a="1"/>
  <c r="J16" i="1" s="1"/>
  <c r="F22" i="1"/>
  <c r="G22" i="1"/>
  <c r="H22" i="1"/>
  <c r="E22" i="1"/>
  <c r="J9" i="1" a="1"/>
  <c r="J9" i="1" s="1"/>
  <c r="F11" i="1"/>
  <c r="F12" i="1"/>
  <c r="F13" i="1"/>
  <c r="F14" i="1"/>
  <c r="G14" i="1" s="1" a="1"/>
  <c r="F15" i="1"/>
  <c r="F10" i="1"/>
  <c r="F16" i="1"/>
  <c r="F9" i="1"/>
  <c r="G9" i="1" s="1" a="1"/>
  <c r="G9" i="1" s="1"/>
  <c r="F8" i="1"/>
  <c r="G8" i="1" s="1" a="1"/>
  <c r="G8" i="1" s="1"/>
  <c r="F7" i="1"/>
  <c r="G7" i="1" s="1" a="1"/>
  <c r="G7" i="1" s="1"/>
  <c r="G10" i="1" a="1"/>
  <c r="G10" i="1" s="1"/>
  <c r="G11" i="1" a="1"/>
  <c r="G11" i="1" s="1"/>
  <c r="G12" i="1" a="1"/>
  <c r="G12" i="1" s="1"/>
  <c r="G13" i="1" a="1"/>
  <c r="G13" i="1" s="1"/>
  <c r="G15" i="1" a="1"/>
  <c r="G15" i="1" s="1"/>
  <c r="G16" i="1" a="1"/>
  <c r="G16" i="1" s="1"/>
  <c r="F6" i="1"/>
  <c r="G6" i="1" s="1" a="1"/>
  <c r="G6" i="1" s="1"/>
  <c r="G14" i="1" l="1"/>
  <c r="J14" i="1" a="1"/>
  <c r="J1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<sst xmlns="http://schemas.openxmlformats.org/spreadsheetml/2006/main" count="14" uniqueCount="14">
  <si>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Team</t>
  </si>
  <si>
    <t>Trainer</t>
  </si>
  <si>
    <t>Field</t>
  </si>
  <si>
    <t>:species =&gt; :NINETALES,</t>
  </si>
  <si>
    <t>        :moves =&gt; [:AURORAVEIL, :MOONBLAST, :FREEZEDRY, :FOULPLAY],</t>
  </si>
  <si>
    <t>        :ability =&gt; :SNOWWARNING,</t>
  </si>
  <si>
    <t>        :gender =&gt; "F",</t>
  </si>
  <si>
    <t>        :form =&gt; 1,</t>
  </si>
  <si>
    <t>        :nature =&gt; :TIMID,</t>
  </si>
  <si>
    <t>        :happiness =&gt; 0,</t>
  </si>
  <si>
    <t>        :ev =&gt; [252, 252, 252, 252, 252, 252]</t>
  </si>
  <si>
    <t>        :item =&gt; :EJECTBUTTON,</t>
  </si>
  <si>
    <t xml:space="preserve"> :level =&gt; 100,</t>
  </si>
  <si>
    <t>        :iv =&gt; 15,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</si>
</sst>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579E3-1B2B-488E-9615-8866A35DA4AE}">
  <dimension ref="A1:O22"/>
  <sheetViews>
    <sheetView tabSelected="1" workbookViewId="0">
      <selection activeCell="I24" sqref="I24"/>
    </sheetView>
  </sheetViews>
  <sheetFormatPr defaultRowHeight="14.4" x14ac:dyDescent="0.3"/>
  <cols>
    <col min="1" max="6" width="8.88671875" style="1"/>
    <col min="7" max="7" width="9" style="1" customWidth="1"/>
    <col min="8" max="9" width="8.88671875" style="1"/>
    <col min="10" max="10" width="9.5546875" style="1" customWidth="1"/>
    <col min="11" max="11" width="9.44140625" style="1" customWidth="1"/>
    <col min="12" max="12" width="7.5546875" style="1" customWidth="1"/>
    <col min="13" max="13" width="8.77734375" style="1" customWidth="1"/>
    <col min="14" max="16384" width="8.88671875" style="1"/>
  </cols>
  <sheetData>
    <row r="1" spans="1:15" x14ac:dyDescent="0.3">
      <c r="A1" s="1" t="s">
        <v>1</v>
      </c>
    </row>
    <row r="2" spans="1:15" x14ac:dyDescent="0.3">
      <c r="A2" s="1" t="s">
        <v>0</v>
      </c>
    </row>
    <row r="3" spans="1:15" x14ac:dyDescent="0.3">
      <c r="A3" s="1" t="s">
        <v>2</v>
      </c>
    </row>
    <row r="5" spans="1:15" x14ac:dyDescent="0.3">
      <c r="A5" s="2"/>
    </row>
    <row r="6" spans="1:15" x14ac:dyDescent="0.3">
      <c r="A6" s="2" t="s">
        <v>3</v>
      </c>
      <c r="F6" s="1" t="str">
        <f>SUBSTITUTE(SUBSTITUTE(SUBSTITUTE(SUBSTITUTE(A6," ","")," ",""),":",""),",","")</f>
        <v>species=&gt;NINETALES</v>
      </c>
      <c r="G6" s="1" t="str" cm="1">
        <f t="array" ref="G6:H6">_xlfn.TEXTSPLIT(F6,"=&gt;")</f>
        <v>species</v>
      </c>
      <c r="H6" s="1" t="str">
        <v>NINETALES</v>
      </c>
    </row>
    <row r="7" spans="1:15" x14ac:dyDescent="0.3">
      <c r="A7" s="2" t="s">
        <v>12</v>
      </c>
      <c r="F7" s="1" t="str">
        <f t="shared" ref="F7" si="0">SUBSTITUTE(SUBSTITUTE(SUBSTITUTE(SUBSTITUTE(A7," ","")," ",""),":",""),",","")</f>
        <v>level=&gt;100</v>
      </c>
      <c r="G7" s="1" t="str" cm="1">
        <f t="array" ref="G7:H7">_xlfn.TEXTSPLIT(F7,"=&gt;")</f>
        <v>level</v>
      </c>
      <c r="H7" s="1" t="str">
        <v>100</v>
      </c>
    </row>
    <row r="8" spans="1:15" x14ac:dyDescent="0.3">
      <c r="A8" s="2" t="s">
        <v>11</v>
      </c>
      <c r="F8" s="3" t="str">
        <f>SUBSTITUTE(SUBSTITUTE(SUBSTITUTE(SUBSTITUTE(A8," ","")," ",""),":",""),",","")</f>
        <v>item=&gt;EJECTBUTTON</v>
      </c>
      <c r="G8" s="1" t="str" cm="1">
        <f t="array" ref="G8:H8">_xlfn.TEXTSPLIT(F8,"=&gt;")</f>
        <v>item</v>
      </c>
      <c r="H8" s="1" t="str">
        <v>EJECTBUTTON</v>
      </c>
    </row>
    <row r="9" spans="1:15" x14ac:dyDescent="0.3">
      <c r="A9" s="2" t="s">
        <v>4</v>
      </c>
      <c r="F9" s="3" t="str">
        <f>SUBSTITUTE(SUBSTITUTE(SUBSTITUTE(A9," ","")," ",""),":","")</f>
        <v>moves=&gt;[AURORAVEIL,MOONBLAST,FREEZEDRY,FOULPLAY],</v>
      </c>
      <c r="G9" s="1" t="str" cm="1">
        <f t="array" ref="G9:H9">_xlfn.TEXTSPLIT(F9,"=&gt;")</f>
        <v>moves</v>
      </c>
      <c r="H9" s="1" t="str">
        <v>[AURORAVEIL,MOONBLAST,FREEZEDRY,FOULPLAY],</v>
      </c>
      <c r="J9" s="1" t="str" cm="1">
        <f t="array" ref="J9:N9">PROPER(_xlfn.TEXTSPLIT(SUBSTITUTE(SUBSTITUTE(H9,"[",""),"]",""),","))</f>
        <v>Auroraveil</v>
      </c>
      <c r="K9" s="1" t="str">
        <v>Moonblast</v>
      </c>
      <c r="L9" s="1" t="str">
        <v>Freezedry</v>
      </c>
      <c r="M9" s="1" t="str">
        <v>Foulplay</v>
      </c>
      <c r="N9" s="1" t="str">
        <v/>
      </c>
    </row>
    <row r="10" spans="1:15" x14ac:dyDescent="0.3">
      <c r="A10" s="2" t="s">
        <v>5</v>
      </c>
      <c r="F10" s="3" t="str">
        <f>SUBSTITUTE(SUBSTITUTE(SUBSTITUTE(SUBSTITUTE(A10," ","")," ",""),":",""),",","")</f>
        <v>ability=&gt;SNOWWARNING</v>
      </c>
      <c r="G10" s="1" t="str" cm="1">
        <f t="array" ref="G10:H10">_xlfn.TEXTSPLIT(F10,"=&gt;")</f>
        <v>ability</v>
      </c>
      <c r="H10" s="1" t="str">
        <v>SNOWWARNING</v>
      </c>
    </row>
    <row r="11" spans="1:15" x14ac:dyDescent="0.3">
      <c r="A11" s="2" t="s">
        <v>6</v>
      </c>
      <c r="F11" s="3" t="str">
        <f>SUBSTITUTE(SUBSTITUTE(SUBSTITUTE(SUBSTITUTE(SUBSTITUTE(A11," ","")," ",""),":",""),",",""),"""","")</f>
        <v>gender=&gt;F</v>
      </c>
      <c r="G11" s="1" t="str" cm="1">
        <f t="array" ref="G11:H11">_xlfn.TEXTSPLIT(F11,"=&gt;")</f>
        <v>gender</v>
      </c>
      <c r="H11" s="1" t="str">
        <v>F</v>
      </c>
    </row>
    <row r="12" spans="1:15" x14ac:dyDescent="0.3">
      <c r="A12" s="2" t="s">
        <v>7</v>
      </c>
      <c r="F12" s="3" t="str">
        <f t="shared" ref="F12:F15" si="1">SUBSTITUTE(SUBSTITUTE(SUBSTITUTE(SUBSTITUTE(A12," ","")," ",""),":",""),",","")</f>
        <v>form=&gt;1</v>
      </c>
      <c r="G12" s="1" t="str" cm="1">
        <f t="array" ref="G12:H12">_xlfn.TEXTSPLIT(F12,"=&gt;")</f>
        <v>form</v>
      </c>
      <c r="H12" s="1" t="str">
        <v>1</v>
      </c>
    </row>
    <row r="13" spans="1:15" x14ac:dyDescent="0.3">
      <c r="A13" s="2" t="s">
        <v>8</v>
      </c>
      <c r="F13" s="3" t="str">
        <f t="shared" si="1"/>
        <v>nature=&gt;TIMID</v>
      </c>
      <c r="G13" s="1" t="str" cm="1">
        <f t="array" ref="G13:H13">_xlfn.TEXTSPLIT(F13,"=&gt;")</f>
        <v>nature</v>
      </c>
      <c r="H13" s="1" t="str">
        <v>TIMID</v>
      </c>
    </row>
    <row r="14" spans="1:15" x14ac:dyDescent="0.3">
      <c r="A14" s="2" t="s">
        <v>13</v>
      </c>
      <c r="F14" s="3" t="str">
        <f t="shared" si="1"/>
        <v>iv=&gt;15</v>
      </c>
      <c r="G14" s="1" t="str" cm="1">
        <f t="array" ref="G14:H14">_xlfn.TEXTSPLIT(F14,"=&gt;")</f>
        <v>iv</v>
      </c>
      <c r="H14" s="1" t="str">
        <v>15</v>
      </c>
      <c r="J14" s="1" t="str" cm="1">
        <f t="array" ref="J14:O14">IF(H14=32,_xlfn.TEXTSPLIT("31,31,31,31,31,0",","),_xlfn.TEXTSPLIT(_xlfn.TEXTJOIN(",",,H14,H14,H14,H14,H14,H14),","))</f>
        <v>15</v>
      </c>
      <c r="K14" s="1" t="str">
        <v>15</v>
      </c>
      <c r="L14" s="1" t="str">
        <v>15</v>
      </c>
      <c r="M14" s="1" t="str">
        <v>15</v>
      </c>
      <c r="N14" s="1" t="str">
        <v>15</v>
      </c>
      <c r="O14" s="1" t="str">
        <v>15</v>
      </c>
    </row>
    <row r="15" spans="1:15" x14ac:dyDescent="0.3">
      <c r="A15" s="2" t="s">
        <v>9</v>
      </c>
      <c r="F15" s="3" t="str">
        <f t="shared" si="1"/>
        <v>happiness=&gt;0</v>
      </c>
      <c r="G15" s="1" t="str" cm="1">
        <f t="array" ref="G15:H15">_xlfn.TEXTSPLIT(F15,"=&gt;")</f>
        <v>happiness</v>
      </c>
      <c r="H15" s="1" t="str">
        <v>0</v>
      </c>
    </row>
    <row r="16" spans="1:15" x14ac:dyDescent="0.3">
      <c r="A16" s="2" t="s">
        <v>10</v>
      </c>
      <c r="F16" s="3" t="str">
        <f>SUBSTITUTE(SUBSTITUTE(SUBSTITUTE(A16," ","")," ",""),":","")</f>
        <v>ev=&gt;[252,252,252,252,252,252]</v>
      </c>
      <c r="G16" s="1" t="str" cm="1">
        <f t="array" ref="G16:H16">_xlfn.TEXTSPLIT(F16,"=&gt;")</f>
        <v>ev</v>
      </c>
      <c r="H16" s="1" t="str">
        <v>[252,252,252,252,252,252]</v>
      </c>
      <c r="J16" s="1" t="str" cm="1">
        <f t="array" ref="J16:O16">PROPER(_xlfn.TEXTSPLIT(SUBSTITUTE(SUBSTITUTE(H16,"[",""),"]",""),","))</f>
        <v>252</v>
      </c>
      <c r="K16" s="1" t="str">
        <v>252</v>
      </c>
      <c r="L16" s="1" t="str">
        <v>252</v>
      </c>
      <c r="M16" s="1" t="str">
        <v>252</v>
      </c>
      <c r="N16" s="1" t="str">
        <v>252</v>
      </c>
      <c r="O16" s="1" t="str">
        <v>252</v>
      </c>
    </row>
    <row r="22" spans="5:8" x14ac:dyDescent="0.3">
      <c r="E22" s="1" t="str">
        <f>TEXT(J9,"")</f>
        <v>Auroraveil</v>
      </c>
      <c r="F22" s="1" t="str">
        <f>TEXT(K9,"")</f>
        <v>Moonblast</v>
      </c>
      <c r="G22" s="1" t="str">
        <f>TEXT(L9,"")</f>
        <v>Freezedry</v>
      </c>
      <c r="H22" s="1" t="str">
        <f>TEXT(M9,"")</f>
        <v>Foulplay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Wise, Willow L.</dc:creator>
  <cp:lastModifiedBy>Wise, Willow L.</cp:lastModifiedBy>
  <dcterms:created xsi:type="dcterms:W3CDTF">2025-06-25T16:46:05Z</dcterms:created>
  <dcterms:modified xsi:type="dcterms:W3CDTF">2025-06-25T20:19:16Z</dcterms:modified>
</cp:coreProperties>
</file>